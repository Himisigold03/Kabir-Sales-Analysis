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BOOK x360 11 EE\Documents\project\Data\Assignments\data\"/>
    </mc:Choice>
  </mc:AlternateContent>
  <xr:revisionPtr revIDLastSave="0" documentId="8_{0EFA3503-3BCD-45C8-89D3-F77B656C2F8E}" xr6:coauthVersionLast="47" xr6:coauthVersionMax="47" xr10:uidLastSave="{00000000-0000-0000-0000-000000000000}"/>
  <bookViews>
    <workbookView xWindow="-108" yWindow="-108" windowWidth="15672" windowHeight="9432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8" i="2"/>
  <c r="G18" i="2"/>
  <c r="G19" i="2"/>
  <c r="G20" i="2"/>
  <c r="G21" i="2"/>
  <c r="G17" i="2"/>
  <c r="F17" i="2"/>
  <c r="F18" i="2"/>
  <c r="F19" i="2"/>
  <c r="F20" i="2"/>
  <c r="F21" i="2"/>
  <c r="F13" i="2"/>
  <c r="B11" i="2"/>
  <c r="B12" i="2"/>
  <c r="B13" i="2"/>
  <c r="F10" i="2"/>
  <c r="F11" i="2"/>
  <c r="F12" i="2"/>
  <c r="F9" i="2"/>
  <c r="F8" i="2"/>
  <c r="B7" i="2"/>
  <c r="B6" i="2"/>
  <c r="B5" i="2"/>
  <c r="B2" i="2"/>
  <c r="E3" i="2"/>
  <c r="E2" i="2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<sst xmlns="http://schemas.openxmlformats.org/spreadsheetml/2006/main" count="101" uniqueCount="35">
  <si>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</si>
  <si>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</si>
  <si>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</si>
  <si>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</si>
  <si>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</si>
  <si>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</si>
  <si>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</si>
  <si>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</si>
  <si>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</si>
  <si>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</si>
  <si>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</si>
  <si>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</si>
  <si>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</si>
  <si>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</si>
  <si>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</si>
  <si>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</si>
  <si>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</si>
  <si>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</si>
  <si>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</si>
  <si>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</si>
  <si>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</si>
  <si>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</si>
  <si>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</si>
  <si>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</si>
  <si>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</si>
  <si>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 Sold Across Years</t>
  </si>
  <si>
    <t>Total Quantity Sold Per Year</t>
  </si>
  <si>
    <t>Average Quantity Sold Per year</t>
  </si>
  <si>
    <t>Average Quantity</t>
  </si>
  <si>
    <r>
      <rPr>
        <b/>
        <sz val="12"/>
        <color theme="1"/>
        <rFont val="Times New Roman"/>
        <family val="1"/>
      </rPr>
      <t>Total Quantity</t>
    </r>
    <r>
      <rPr>
        <sz val="11"/>
        <color theme="1"/>
        <rFont val="Times New Roman"/>
        <family val="1"/>
      </rPr>
      <t xml:space="preserve"> </t>
    </r>
  </si>
  <si>
    <t>Highest Transaction</t>
  </si>
  <si>
    <t>Lowest Transaction</t>
  </si>
  <si>
    <t>Most Active</t>
  </si>
  <si>
    <t>Column1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</si>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</sst>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43" fontId="1" fillId="0" borderId="5" xfId="1" applyFont="1" applyFill="1" applyBorder="1" applyAlignment="1"/>
    <xf numFmtId="0" fontId="0" fillId="0" borderId="18" xfId="0" applyBorder="1"/>
    <xf numFmtId="0" fontId="0" fillId="2" borderId="0" xfId="0" applyFill="1"/>
    <xf numFmtId="4" fontId="0" fillId="5" borderId="0" xfId="0" applyNumberFormat="1" applyFill="1"/>
    <xf numFmtId="4" fontId="8" fillId="5" borderId="0" xfId="0" applyNumberFormat="1" applyFont="1" applyFill="1"/>
    <xf numFmtId="4" fontId="0" fillId="0" borderId="0" xfId="0" applyNumberFormat="1"/>
    <xf numFmtId="0" fontId="9" fillId="6" borderId="0" xfId="0" applyFont="1" applyFill="1"/>
    <xf numFmtId="0" fontId="3" fillId="0" borderId="0" xfId="0" applyFont="1"/>
    <xf numFmtId="0" fontId="10" fillId="2" borderId="0" xfId="0" applyFont="1" applyFill="1"/>
    <xf numFmtId="0" fontId="10" fillId="7" borderId="0" xfId="0" applyFont="1" applyFill="1"/>
    <xf numFmtId="0" fontId="11" fillId="0" borderId="0" xfId="0" applyFont="1"/>
    <xf numFmtId="0" fontId="6" fillId="5" borderId="0" xfId="0" applyFont="1" applyFill="1"/>
    <xf numFmtId="2" fontId="0" fillId="0" borderId="0" xfId="0" applyNumberFormat="1"/>
    <xf numFmtId="0" fontId="0" fillId="2" borderId="0" xfId="0" applyFill="1" applyAlignment="1">
      <alignment horizontal="left" indent="1"/>
    </xf>
    <xf numFmtId="43" fontId="0" fillId="0" borderId="1" xfId="1" applyFont="1" applyBorder="1"/>
    <xf numFmtId="2" fontId="3" fillId="0" borderId="0" xfId="0" applyNumberFormat="1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0</xdr:rowOff>
    </xdr:from>
    <xdr:to>
      <xdr:col>1</xdr:col>
      <xdr:colOff>998220</xdr:colOff>
      <xdr:row>0</xdr:row>
      <xdr:rowOff>327660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A7FC58-0674-33B8-1D43-73291478F924}"/>
            </a:ext>
          </a:extLst>
        </xdr:cNvPr>
        <xdr:cNvSpPr txBox="1"/>
      </xdr:nvSpPr>
      <xdr:spPr>
        <a:xfrm>
          <a:off x="198120" y="0"/>
          <a:ext cx="20269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Inventry Impact</a:t>
          </a:r>
        </a:p>
      </xdr:txBody>
    </xdr:sp>
    <xdr:clientData/>
  </xdr:twoCellAnchor>
  <xdr:twoCellAnchor>
    <xdr:from>
      <xdr:col>3</xdr:col>
      <xdr:colOff>60960</xdr:colOff>
      <xdr:row>0</xdr:row>
      <xdr:rowOff>41910</xdr:rowOff>
    </xdr:from>
    <xdr:to>
      <xdr:col>4</xdr:col>
      <xdr:colOff>1463040</xdr:colOff>
      <xdr:row>0</xdr:row>
      <xdr:rowOff>342900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38442-73FE-E365-7D51-0600CBB1E3AE}"/>
            </a:ext>
          </a:extLst>
        </xdr:cNvPr>
        <xdr:cNvSpPr txBox="1"/>
      </xdr:nvSpPr>
      <xdr:spPr>
        <a:xfrm>
          <a:off x="4396740" y="41910"/>
          <a:ext cx="293370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GB" sz="2000" b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Performance Extremes</a:t>
          </a:r>
        </a:p>
      </xdr:txBody>
    </xdr:sp>
    <xdr:clientData/>
  </xdr:twoCellAnchor>
  <xdr:twoCellAnchor>
    <xdr:from>
      <xdr:col>3</xdr:col>
      <xdr:colOff>320040</xdr:colOff>
      <xdr:row>5</xdr:row>
      <xdr:rowOff>0</xdr:rowOff>
    </xdr:from>
    <xdr:to>
      <xdr:col>4</xdr:col>
      <xdr:colOff>1120140</xdr:colOff>
      <xdr:row>6</xdr:row>
      <xdr:rowOff>7620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28C05A-7F82-1419-45AF-285596AF8A20}"/>
            </a:ext>
          </a:extLst>
        </xdr:cNvPr>
        <xdr:cNvSpPr txBox="1"/>
      </xdr:nvSpPr>
      <xdr:spPr>
        <a:xfrm>
          <a:off x="4655820" y="1356360"/>
          <a:ext cx="233172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GB" sz="1400" b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Reresentative Activity</a:t>
          </a:r>
        </a:p>
      </xdr:txBody>
    </xdr:sp>
    <xdr:clientData/>
  </xdr:twoCellAnchor>
  <xdr:twoCellAnchor>
    <xdr:from>
      <xdr:col>3</xdr:col>
      <xdr:colOff>152400</xdr:colOff>
      <xdr:row>14</xdr:row>
      <xdr:rowOff>15240</xdr:rowOff>
    </xdr:from>
    <xdr:to>
      <xdr:col>5</xdr:col>
      <xdr:colOff>792480</xdr:colOff>
      <xdr:row>15</xdr:row>
      <xdr:rowOff>22860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BA4F46-5DDD-AF4D-923E-4A84BFA89117}"/>
            </a:ext>
          </a:extLst>
        </xdr:cNvPr>
        <xdr:cNvSpPr txBox="1"/>
      </xdr:nvSpPr>
      <xdr:spPr>
        <a:xfrm>
          <a:off x="4488180" y="3566160"/>
          <a:ext cx="365760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GB" sz="1400" b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Revenue Per Sales Rep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E566F-42E8-45C5-A920-7DA376701D84}" name="Table1" displayName="Table1" ref="A3:B7" totalsRowShown="0" dataDxfId="4">
  <autoFilter ref="A3:B7" xr:uid="{A86E566F-42E8-45C5-A920-7DA376701D84}"/>
  <tableColumns count="2">
    <tableColumn id="1" xr3:uid="{2C903696-AB6E-4F88-A458-CAE368102279}" name="Total Quantity Sold Per Year" dataDxfId="3"/>
    <tableColumn id="2" xr3:uid="{0661983E-84AA-4EAD-BCAF-CD4E79624FD6}" name="Column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opLeftCell="B1" zoomScale="89" zoomScaleNormal="89" workbookViewId="0">
      <selection activeCell="E17" sqref="E17"/>
    </sheetView>
  </sheetViews>
  <sheetFormatPr defaultColWidth="17.77734375" defaultRowHeight="14.4" x14ac:dyDescent="0.3"/>
  <sheetData>
    <row r="1" spans="1:21" ht="24.6" x14ac:dyDescent="0.4">
      <c r="A1" s="47" t="s">
        <v>0</v>
      </c>
      <c r="B1" s="47"/>
      <c r="C1" s="47"/>
      <c r="D1" s="47"/>
      <c r="E1" s="47"/>
      <c r="F1" s="47"/>
    </row>
    <row r="2" spans="1:21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3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44" t="s">
        <v>24</v>
      </c>
      <c r="J3" s="45"/>
      <c r="K3" s="46"/>
      <c r="N3" s="7"/>
      <c r="O3" s="8" t="s">
        <v>9</v>
      </c>
      <c r="P3" s="9" t="s">
        <v>10</v>
      </c>
    </row>
    <row r="4" spans="1:2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41" t="s">
        <v>12</v>
      </c>
      <c r="O4" s="13" t="s">
        <v>13</v>
      </c>
      <c r="P4" s="14"/>
    </row>
    <row r="5" spans="1:2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/>
      <c r="J5" s="25"/>
      <c r="K5" s="25"/>
      <c r="N5" s="42"/>
      <c r="O5" s="13" t="s">
        <v>7</v>
      </c>
      <c r="P5" s="14"/>
    </row>
    <row r="6" spans="1:2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/>
      <c r="J6" s="25"/>
      <c r="K6" s="25"/>
      <c r="N6" s="42"/>
      <c r="O6" s="13" t="s">
        <v>15</v>
      </c>
      <c r="P6" s="14"/>
    </row>
    <row r="7" spans="1:2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/>
      <c r="J7" s="25"/>
      <c r="K7" s="25"/>
      <c r="N7" s="42"/>
      <c r="O7" s="13" t="s">
        <v>18</v>
      </c>
      <c r="P7" s="14"/>
    </row>
    <row r="8" spans="1:21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/>
      <c r="J8" s="25"/>
      <c r="K8" s="25"/>
      <c r="N8" s="43"/>
      <c r="O8" s="17" t="s">
        <v>11</v>
      </c>
      <c r="P8" s="14"/>
    </row>
    <row r="9" spans="1:21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/>
      <c r="J9" s="25"/>
      <c r="K9" s="25"/>
    </row>
    <row r="10" spans="1:2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3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3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48" t="s">
        <v>8</v>
      </c>
      <c r="I14" s="49"/>
      <c r="J14" s="50"/>
    </row>
    <row r="15" spans="1:21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44" t="s">
        <v>22</v>
      </c>
      <c r="T15" s="45"/>
      <c r="U15" s="46"/>
    </row>
    <row r="16" spans="1:2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/>
      <c r="J16" s="16"/>
      <c r="L16" s="41" t="s">
        <v>23</v>
      </c>
      <c r="M16" s="13" t="s">
        <v>13</v>
      </c>
      <c r="N16" s="13"/>
      <c r="O16" s="13"/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/>
      <c r="J17" s="16"/>
      <c r="L17" s="42"/>
      <c r="M17" s="13" t="s">
        <v>7</v>
      </c>
      <c r="N17" s="13"/>
      <c r="O17" s="13"/>
      <c r="R17" s="24" t="s">
        <v>13</v>
      </c>
      <c r="S17" s="25"/>
      <c r="T17" s="25"/>
      <c r="U17" s="25"/>
    </row>
    <row r="18" spans="1:21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/>
      <c r="J18" s="16"/>
      <c r="L18" s="42"/>
      <c r="M18" s="13" t="s">
        <v>15</v>
      </c>
      <c r="N18" s="13"/>
      <c r="O18" s="13"/>
      <c r="R18" s="24" t="s">
        <v>7</v>
      </c>
      <c r="S18" s="25"/>
      <c r="T18" s="25"/>
      <c r="U18" s="25"/>
    </row>
    <row r="19" spans="1:21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/>
      <c r="J19" s="16"/>
      <c r="L19" s="42"/>
      <c r="M19" s="13" t="s">
        <v>18</v>
      </c>
      <c r="N19" s="13"/>
      <c r="O19" s="13"/>
      <c r="R19" s="24" t="s">
        <v>15</v>
      </c>
      <c r="S19" s="25"/>
      <c r="T19" s="25"/>
      <c r="U19" s="25"/>
    </row>
    <row r="20" spans="1:21" ht="15" thickBot="1" x14ac:dyDescent="0.3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/>
      <c r="J20" s="14"/>
      <c r="L20" s="43"/>
      <c r="M20" s="17" t="s">
        <v>11</v>
      </c>
      <c r="N20" s="13"/>
      <c r="O20" s="13"/>
      <c r="R20" s="24" t="s">
        <v>18</v>
      </c>
      <c r="S20" s="25"/>
      <c r="T20" s="25"/>
      <c r="U20" s="25"/>
    </row>
    <row r="21" spans="1:21" ht="15" thickBot="1" x14ac:dyDescent="0.3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/>
      <c r="J21" s="19"/>
      <c r="R21" s="26" t="s">
        <v>11</v>
      </c>
      <c r="S21" s="25"/>
      <c r="T21" s="25"/>
      <c r="U21" s="25"/>
    </row>
    <row r="22" spans="1:21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1" priority="1" operator="greaterThan">
      <formula>15000</formula>
    </cfRule>
    <cfRule type="cellIs" dxfId="0" priority="3" operator="lessThan">
      <formula>6000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4A3-9544-40B1-A6E7-2A49F80AF8DF}">
  <dimension ref="A1:G21"/>
  <sheetViews>
    <sheetView tabSelected="1" zoomScale="98" zoomScaleNormal="98" workbookViewId="0">
      <selection activeCell="G7" sqref="G7"/>
    </sheetView>
  </sheetViews>
  <sheetFormatPr defaultColWidth="17.88671875" defaultRowHeight="19.2" customHeight="1" x14ac:dyDescent="0.3"/>
  <cols>
    <col min="1" max="1" width="30.5546875" customWidth="1"/>
    <col min="4" max="4" width="22.33203125" customWidth="1"/>
    <col min="5" max="5" width="21.6640625" customWidth="1"/>
  </cols>
  <sheetData>
    <row r="1" spans="1:7" ht="30" customHeight="1" x14ac:dyDescent="0.3">
      <c r="A1" s="27"/>
      <c r="B1" s="27"/>
      <c r="D1" s="27"/>
      <c r="E1" s="27"/>
    </row>
    <row r="2" spans="1:7" ht="19.2" customHeight="1" x14ac:dyDescent="0.3">
      <c r="A2" s="34" t="s">
        <v>25</v>
      </c>
      <c r="B2" s="29">
        <f>SUM(Sheet1!E3:E26)</f>
        <v>1224</v>
      </c>
      <c r="C2" s="30"/>
      <c r="D2" s="35" t="s">
        <v>30</v>
      </c>
      <c r="E2" s="30">
        <f>MAX(Sheet1!F3:F26)</f>
        <v>20900</v>
      </c>
    </row>
    <row r="3" spans="1:7" ht="19.2" customHeight="1" x14ac:dyDescent="0.3">
      <c r="A3" s="33" t="s">
        <v>26</v>
      </c>
      <c r="B3" s="28" t="s">
        <v>33</v>
      </c>
      <c r="D3" s="35" t="s">
        <v>31</v>
      </c>
      <c r="E3" s="37">
        <f>MIN(Sheet1!F3:F26)</f>
        <v>5280</v>
      </c>
    </row>
    <row r="4" spans="1:7" ht="19.2" customHeight="1" x14ac:dyDescent="0.4">
      <c r="A4" s="31" t="s">
        <v>3</v>
      </c>
      <c r="B4" s="36" t="s">
        <v>29</v>
      </c>
    </row>
    <row r="5" spans="1:7" ht="19.2" customHeight="1" x14ac:dyDescent="0.3">
      <c r="A5" s="32">
        <v>2010</v>
      </c>
      <c r="B5" s="32">
        <f>SUMIF(Sheet1!C3:C26, "=2010", Sheet1!E3:E26)</f>
        <v>476</v>
      </c>
    </row>
    <row r="6" spans="1:7" ht="19.2" customHeight="1" thickBot="1" x14ac:dyDescent="0.35">
      <c r="A6" s="32">
        <v>2011</v>
      </c>
      <c r="B6" s="32">
        <f>SUMIF(Sheet1!C4:C27, "=2011", Sheet1!E4:E27)</f>
        <v>380</v>
      </c>
      <c r="D6" s="38"/>
      <c r="E6" s="38"/>
      <c r="F6" s="27"/>
    </row>
    <row r="7" spans="1:7" ht="19.2" customHeight="1" x14ac:dyDescent="0.3">
      <c r="A7" s="32">
        <v>2012</v>
      </c>
      <c r="B7" s="32">
        <f>SUMIF(Sheet1!C5:C28, "=2012", Sheet1!E5:E28)</f>
        <v>368</v>
      </c>
      <c r="D7" s="7"/>
      <c r="E7" s="8" t="s">
        <v>9</v>
      </c>
      <c r="F7" s="9" t="s">
        <v>10</v>
      </c>
      <c r="G7" s="35" t="s">
        <v>34</v>
      </c>
    </row>
    <row r="8" spans="1:7" ht="19.2" customHeight="1" x14ac:dyDescent="0.3">
      <c r="D8" s="41" t="s">
        <v>12</v>
      </c>
      <c r="E8" s="13" t="s">
        <v>13</v>
      </c>
      <c r="F8" s="14">
        <f>COUNTIF(Sheet1!D3:D26, "=Abdul")</f>
        <v>6</v>
      </c>
      <c r="G8">
        <f>RANK(F8,$F$8:$F$12)</f>
        <v>2</v>
      </c>
    </row>
    <row r="9" spans="1:7" ht="19.2" customHeight="1" x14ac:dyDescent="0.3">
      <c r="A9" s="33" t="s">
        <v>27</v>
      </c>
      <c r="B9" s="35" t="s">
        <v>28</v>
      </c>
      <c r="D9" s="42"/>
      <c r="E9" s="13" t="s">
        <v>7</v>
      </c>
      <c r="F9" s="14">
        <f>COUNTIF(Sheet1!$D$3:$D$26, "="&amp;E9)</f>
        <v>3</v>
      </c>
      <c r="G9">
        <f t="shared" ref="G9:G12" si="0">RANK(F9,$F$8:$F$12)</f>
        <v>4</v>
      </c>
    </row>
    <row r="10" spans="1:7" ht="19.2" customHeight="1" x14ac:dyDescent="0.4">
      <c r="A10" s="31" t="s">
        <v>3</v>
      </c>
      <c r="D10" s="42"/>
      <c r="E10" s="13" t="s">
        <v>15</v>
      </c>
      <c r="F10" s="14">
        <f>COUNTIF(Sheet1!$D$3:$D$26, "="&amp;E10)</f>
        <v>5</v>
      </c>
      <c r="G10">
        <f t="shared" si="0"/>
        <v>3</v>
      </c>
    </row>
    <row r="11" spans="1:7" ht="19.2" customHeight="1" x14ac:dyDescent="0.3">
      <c r="A11" s="32">
        <v>2010</v>
      </c>
      <c r="B11" s="40">
        <f>AVERAGEIF(Sheet1!$C$3:$C$26, "="&amp;A11, Sheet1!$E$3:$E$26)</f>
        <v>52.888888888888886</v>
      </c>
      <c r="D11" s="42"/>
      <c r="E11" s="13" t="s">
        <v>18</v>
      </c>
      <c r="F11" s="14">
        <f>COUNTIF(Sheet1!$D$3:$D$26, "="&amp;E11)</f>
        <v>3</v>
      </c>
      <c r="G11">
        <f t="shared" si="0"/>
        <v>4</v>
      </c>
    </row>
    <row r="12" spans="1:7" ht="19.2" customHeight="1" thickBot="1" x14ac:dyDescent="0.35">
      <c r="A12" s="32">
        <v>2011</v>
      </c>
      <c r="B12" s="40">
        <f>AVERAGEIF(Sheet1!$C$3:$C$26, "="&amp;A12, Sheet1!$E$3:$E$26)</f>
        <v>63.333333333333336</v>
      </c>
      <c r="D12" s="43"/>
      <c r="E12" s="17" t="s">
        <v>11</v>
      </c>
      <c r="F12" s="14">
        <f>COUNTIF(Sheet1!$D$3:$D$26, "="&amp;E12)</f>
        <v>7</v>
      </c>
      <c r="G12">
        <f t="shared" si="0"/>
        <v>1</v>
      </c>
    </row>
    <row r="13" spans="1:7" ht="19.2" customHeight="1" x14ac:dyDescent="0.3">
      <c r="A13" s="32">
        <v>2012</v>
      </c>
      <c r="B13" s="37">
        <f>AVERAGEIF(Sheet1!$C$3:$C$26, "="&amp;A13, Sheet1!$E$3:$E$26)</f>
        <v>40.888888888888886</v>
      </c>
      <c r="D13" s="35" t="s">
        <v>32</v>
      </c>
      <c r="E13" t="s">
        <v>11</v>
      </c>
      <c r="F13">
        <f>MAX(F8:F12)</f>
        <v>7</v>
      </c>
    </row>
    <row r="15" spans="1:7" ht="19.2" customHeight="1" thickBot="1" x14ac:dyDescent="0.35">
      <c r="D15" s="27"/>
      <c r="E15" s="27"/>
      <c r="F15" s="27"/>
      <c r="G15" s="27"/>
    </row>
    <row r="16" spans="1:7" ht="19.2" customHeight="1" x14ac:dyDescent="0.3">
      <c r="D16" s="7"/>
      <c r="E16" s="8" t="s">
        <v>9</v>
      </c>
      <c r="F16" s="8" t="s">
        <v>10</v>
      </c>
      <c r="G16" s="9" t="s">
        <v>6</v>
      </c>
    </row>
    <row r="17" spans="4:7" ht="19.2" customHeight="1" x14ac:dyDescent="0.3">
      <c r="D17" s="41" t="s">
        <v>23</v>
      </c>
      <c r="E17" s="13" t="s">
        <v>13</v>
      </c>
      <c r="F17" s="13">
        <f>SUMIF(Sheet1!$D$3:$D$26,"="&amp;Sheet2!E17,Sheet1!$E$3:$E$26)</f>
        <v>277</v>
      </c>
      <c r="G17" s="39">
        <f>SUMIF(Sheet1!$D$3:$D$26,"="&amp;Sheet2!E17,Sheet1!$F$3:$F$26)</f>
        <v>60940</v>
      </c>
    </row>
    <row r="18" spans="4:7" ht="19.2" customHeight="1" x14ac:dyDescent="0.3">
      <c r="D18" s="42"/>
      <c r="E18" s="13" t="s">
        <v>7</v>
      </c>
      <c r="F18" s="13">
        <f>SUMIF(Sheet1!$D$3:$D$26,"="&amp;Sheet2!E18,Sheet1!$E$3:$E$26)</f>
        <v>140</v>
      </c>
      <c r="G18" s="39">
        <f>SUMIF(Sheet1!$D$3:$D$26,"="&amp;Sheet2!E18,Sheet1!$F$3:$F$26)</f>
        <v>30800</v>
      </c>
    </row>
    <row r="19" spans="4:7" ht="19.2" customHeight="1" x14ac:dyDescent="0.3">
      <c r="D19" s="42"/>
      <c r="E19" s="13" t="s">
        <v>15</v>
      </c>
      <c r="F19" s="13">
        <f>SUMIF(Sheet1!$D$3:$D$26,"="&amp;Sheet2!E19,Sheet1!$E$3:$E$26)</f>
        <v>194</v>
      </c>
      <c r="G19" s="39">
        <f>SUMIF(Sheet1!$D$3:$D$26,"="&amp;Sheet2!E19,Sheet1!$F$3:$F$26)</f>
        <v>42680</v>
      </c>
    </row>
    <row r="20" spans="4:7" ht="19.2" customHeight="1" x14ac:dyDescent="0.3">
      <c r="D20" s="42"/>
      <c r="E20" s="13" t="s">
        <v>18</v>
      </c>
      <c r="F20" s="13">
        <f>SUMIF(Sheet1!$D$3:$D$26,"="&amp;Sheet2!E20,Sheet1!$E$3:$E$26)</f>
        <v>237</v>
      </c>
      <c r="G20" s="39">
        <f>SUMIF(Sheet1!$D$3:$D$26,"="&amp;Sheet2!E20,Sheet1!$F$3:$F$26)</f>
        <v>52140</v>
      </c>
    </row>
    <row r="21" spans="4:7" ht="19.2" customHeight="1" thickBot="1" x14ac:dyDescent="0.35">
      <c r="D21" s="43"/>
      <c r="E21" s="17" t="s">
        <v>11</v>
      </c>
      <c r="F21" s="13">
        <f>SUMIF(Sheet1!$D$3:$D$26,"="&amp;Sheet2!E21,Sheet1!$E$3:$E$26)</f>
        <v>376</v>
      </c>
      <c r="G21" s="39">
        <f>SUMIF(Sheet1!$D$3:$D$26,"="&amp;Sheet2!E21,Sheet1!$F$3:$F$26)</f>
        <v>82720</v>
      </c>
    </row>
  </sheetData>
  <mergeCells count="2">
    <mergeCell ref="D8:D12"/>
    <mergeCell ref="D17:D2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Aishat Adeniyi</cp:lastModifiedBy>
  <dcterms:created xsi:type="dcterms:W3CDTF">2024-05-08T21:08:42Z</dcterms:created>
  <dcterms:modified xsi:type="dcterms:W3CDTF">2026-05-03T17:09:34Z</dcterms:modified>
</cp:coreProperties>
</file>